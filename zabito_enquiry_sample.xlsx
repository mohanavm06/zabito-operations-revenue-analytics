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24a841a8a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quiries" sheetId="1" r:id="R12f14a5ffd0a4f37"/>
    <x:sheet xmlns:r="http://schemas.openxmlformats.org/officeDocument/2006/relationships" name="Dashboard" sheetId="2" r:id="Rbeb76959eea04d0d"/>
    <x:sheet xmlns:r="http://schemas.openxmlformats.org/officeDocument/2006/relationships" name="Lists" sheetId="3" r:id="R349a46d938e9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 &quot;SEK&quot;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0601c0c304ded" /><Relationship Type="http://schemas.openxmlformats.org/officeDocument/2006/relationships/theme" Target="/xl/theme/theme1.xml" Id="Ra9acf6f723d94cb2" /><Relationship Type="http://schemas.openxmlformats.org/officeDocument/2006/relationships/sharedStrings" Target="/xl/sharedStrings.xml" Id="R30eff27e331b4e1c" /><Relationship Type="http://schemas.openxmlformats.org/officeDocument/2006/relationships/worksheet" Target="/xl/worksheets/sheet1.xml" Id="R12f14a5ffd0a4f37" /><Relationship Type="http://schemas.openxmlformats.org/officeDocument/2006/relationships/worksheet" Target="/xl/worksheets/sheet2.xml" Id="Rbeb76959eea04d0d" /><Relationship Type="http://schemas.openxmlformats.org/officeDocument/2006/relationships/worksheet" Target="/xl/worksheets/sheet3.xml" Id="R349a46d938e949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444045b9e1b49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Enquiries by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444045b9e1b49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quiriesTable" displayName="EnquiriesTable" ref="A1:O31" headerRowCount="1" totalsRowCount="0" totalsRowShown="0">
  <x:tableColumns count="15">
    <x:tableColumn id="1" name="Enquiry_ID"/>
    <x:tableColumn id="2" name="Enquiry_Date"/>
    <x:tableColumn id="3" name="Guest_Name"/>
    <x:tableColumn id="4" name="Email"/>
    <x:tableColumn id="5" name="Phone"/>
    <x:tableColumn id="6" name="Channel"/>
    <x:tableColumn id="7" name="Property"/>
    <x:tableColumn id="8" name="Room_Type"/>
    <x:tableColumn id="9" name="Move_In_Date"/>
    <x:tableColumn id="10" name="Stay_Months"/>
    <x:tableColumn id="11" name="Monthly_Rent_SEK"/>
    <x:tableColumn id="12" name="Status"/>
    <x:tableColumn id="13" name="Follow_Up_Date"/>
    <x:tableColumn id="14" name="Assigned_To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3699871ecf4a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ac15bae5992458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20" hidden="0" customWidth="1"/>
    <x:col min="4" max="4" width="24" hidden="0" customWidth="1"/>
    <x:col min="5" max="5" width="16" hidden="0" customWidth="1"/>
    <x:col min="6" max="6" width="14" hidden="0" customWidth="1"/>
    <x:col min="7" max="7" width="18" hidden="0" customWidth="1"/>
    <x:col min="8" max="8" width="16" hidden="0" customWidth="1"/>
    <x:col min="9" max="9" width="13" hidden="0" customWidth="1"/>
    <x:col min="10" max="10" width="12" hidden="0" customWidth="1"/>
    <x:col min="11" max="11" width="18" hidden="0" customWidth="1"/>
    <x:col min="12" max="12" width="17" hidden="0" customWidth="1"/>
    <x:col min="13" max="13" width="14" hidden="0" customWidth="1"/>
    <x:col min="14" max="14" width="14" hidden="0" customWidth="1"/>
    <x:col min="15" max="15" width="32" hidden="0" customWidth="1"/>
  </x:cols>
  <x:sheetData>
    <x:row r="1">
      <x:c r="A1" s="10" t="str">
        <x:v>Enquiry_ID</x:v>
      </x:c>
      <x:c r="B1" s="10" t="str">
        <x:v>Enquiry_Date</x:v>
      </x:c>
      <x:c r="C1" s="10" t="str">
        <x:v>Guest_Name</x:v>
      </x:c>
      <x:c r="D1" s="10" t="str">
        <x:v>Email</x:v>
      </x:c>
      <x:c r="E1" s="10" t="str">
        <x:v>Phone</x:v>
      </x:c>
      <x:c r="F1" s="10" t="str">
        <x:v>Channel</x:v>
      </x:c>
      <x:c r="G1" s="10" t="str">
        <x:v>Property</x:v>
      </x:c>
      <x:c r="H1" s="10" t="str">
        <x:v>Room_Type</x:v>
      </x:c>
      <x:c r="I1" s="10" t="str">
        <x:v>Move_In_Date</x:v>
      </x:c>
      <x:c r="J1" s="10" t="str">
        <x:v>Stay_Months</x:v>
      </x:c>
      <x:c r="K1" s="10" t="str">
        <x:v>Monthly_Rent_SEK</x:v>
      </x:c>
      <x:c r="L1" s="10" t="str">
        <x:v>Status</x:v>
      </x:c>
      <x:c r="M1" s="10" t="str">
        <x:v>Follow_Up_Date</x:v>
      </x:c>
      <x:c r="N1" s="10" t="str">
        <x:v>Assigned_To</x:v>
      </x:c>
      <x:c r="O1" s="10" t="str">
        <x:v>Notes</x:v>
      </x:c>
    </x:row>
    <x:row r="2">
      <x:c r="A2" s="11" t="str">
        <x:v>ENQ-2026001</x:v>
      </x:c>
      <x:c r="B2" s="14" t="n">
        <x:v>46275</x:v>
      </x:c>
      <x:c r="C2" s="11" t="str">
        <x:v>Sample Guest 001</x:v>
      </x:c>
      <x:c r="D2" s="11" t="str">
        <x:v>guest001@example.com</x:v>
      </x:c>
      <x:c r="E2" s="11" t="str">
        <x:v>+46 70 000 0001</x:v>
      </x:c>
      <x:c r="F2" s="11" t="str">
        <x:v>WhatsApp</x:v>
      </x:c>
      <x:c r="G2" s="11" t="str">
        <x:v>Zabito South</x:v>
      </x:c>
      <x:c r="H2" s="11" t="str">
        <x:v>Single Room</x:v>
      </x:c>
      <x:c r="I2" s="14" t="n">
        <x:v>46285</x:v>
      </x:c>
      <x:c r="J2" s="11" t="n">
        <x:v>2</x:v>
      </x:c>
      <x:c r="K2" s="16" t="n">
        <x:v>5500</x:v>
      </x:c>
      <x:c r="L2" s="11" t="str">
        <x:v>New</x:v>
      </x:c>
      <x:c r="M2" s="14" t="n">
        <x:v>46281</x:v>
      </x:c>
      <x:c r="N2" s="11" t="str">
        <x:v>Agent C</x:v>
      </x:c>
      <x:c r="O2" s="11" t="str">
        <x:v>Prefers a quiet room.</x:v>
      </x:c>
    </x:row>
    <x:row r="3">
      <x:c r="A3" s="11" t="str">
        <x:v>ENQ-2026002</x:v>
      </x:c>
      <x:c r="B3" s="14" t="n">
        <x:v>46269</x:v>
      </x:c>
      <x:c r="C3" s="11" t="str">
        <x:v>Sample Guest 002</x:v>
      </x:c>
      <x:c r="D3" s="11" t="str">
        <x:v>guest002@example.com</x:v>
      </x:c>
      <x:c r="E3" s="11" t="str">
        <x:v>+46 70 000 0002</x:v>
      </x:c>
      <x:c r="F3" s="11" t="str">
        <x:v>Website</x:v>
      </x:c>
      <x:c r="G3" s="11" t="str">
        <x:v>Zabito Central</x:v>
      </x:c>
      <x:c r="H3" s="11" t="str">
        <x:v>Single Room</x:v>
      </x:c>
      <x:c r="I3" s="14" t="n">
        <x:v>46277</x:v>
      </x:c>
      <x:c r="J3" s="11" t="n">
        <x:v>1</x:v>
      </x:c>
      <x:c r="K3" s="16" t="n">
        <x:v>6000</x:v>
      </x:c>
      <x:c r="L3" s="11" t="str">
        <x:v>Closed</x:v>
      </x:c>
      <x:c r="M3" s="14"/>
      <x:c r="N3" s="11" t="str">
        <x:v>Agent C</x:v>
      </x:c>
      <x:c r="O3" s="11" t="str">
        <x:v>Asked about Wi-Fi and laundry.</x:v>
      </x:c>
    </x:row>
    <x:row r="4">
      <x:c r="A4" s="11" t="str">
        <x:v>ENQ-2026003</x:v>
      </x:c>
      <x:c r="B4" s="14" t="n">
        <x:v>46273</x:v>
      </x:c>
      <x:c r="C4" s="11" t="str">
        <x:v>Sample Guest 003</x:v>
      </x:c>
      <x:c r="D4" s="11" t="str">
        <x:v>guest003@example.com</x:v>
      </x:c>
      <x:c r="E4" s="11" t="str">
        <x:v>+46 70 000 0003</x:v>
      </x:c>
      <x:c r="F4" s="11" t="str">
        <x:v>Phone</x:v>
      </x:c>
      <x:c r="G4" s="11" t="str">
        <x:v>Zabito Central</x:v>
      </x:c>
      <x:c r="H4" s="11" t="str">
        <x:v>Shared Room</x:v>
      </x:c>
      <x:c r="I4" s="14" t="n">
        <x:v>46277</x:v>
      </x:c>
      <x:c r="J4" s="11" t="n">
        <x:v>12</x:v>
      </x:c>
      <x:c r="K4" s="16" t="n">
        <x:v>5000</x:v>
      </x:c>
      <x:c r="L4" s="11" t="str">
        <x:v>Closed</x:v>
      </x:c>
      <x:c r="M4" s="14"/>
      <x:c r="N4" s="11" t="str">
        <x:v>Agent C</x:v>
      </x:c>
      <x:c r="O4" s="11" t="str">
        <x:v>Requested viewing before decision.</x:v>
      </x:c>
    </x:row>
    <x:row r="5">
      <x:c r="A5" s="11" t="str">
        <x:v>ENQ-2026004</x:v>
      </x:c>
      <x:c r="B5" s="14" t="n">
        <x:v>46252</x:v>
      </x:c>
      <x:c r="C5" s="11" t="str">
        <x:v>Sample Guest 004</x:v>
      </x:c>
      <x:c r="D5" s="11" t="str">
        <x:v>guest004@example.com</x:v>
      </x:c>
      <x:c r="E5" s="11" t="str">
        <x:v>+46 70 000 0004</x:v>
      </x:c>
      <x:c r="F5" s="11" t="str">
        <x:v>WhatsApp</x:v>
      </x:c>
      <x:c r="G5" s="11" t="str">
        <x:v>Zabito Central</x:v>
      </x:c>
      <x:c r="H5" s="11" t="str">
        <x:v>Shared Room</x:v>
      </x:c>
      <x:c r="I5" s="14" t="n">
        <x:v>46255</x:v>
      </x:c>
      <x:c r="J5" s="11" t="n">
        <x:v>3</x:v>
      </x:c>
      <x:c r="K5" s="16" t="n">
        <x:v>6000</x:v>
      </x:c>
      <x:c r="L5" s="11" t="str">
        <x:v>Contacted</x:v>
      </x:c>
      <x:c r="M5" s="14" t="n">
        <x:v>46258</x:v>
      </x:c>
      <x:c r="N5" s="11" t="str">
        <x:v>Agent A</x:v>
      </x:c>
      <x:c r="O5" s="11" t="str">
        <x:v>Needs flexible move-in date.</x:v>
      </x:c>
    </x:row>
    <x:row r="6">
      <x:c r="A6" s="11" t="str">
        <x:v>ENQ-2026005</x:v>
      </x:c>
      <x:c r="B6" s="14" t="n">
        <x:v>46240</x:v>
      </x:c>
      <x:c r="C6" s="11" t="str">
        <x:v>Sample Guest 005</x:v>
      </x:c>
      <x:c r="D6" s="11" t="str">
        <x:v>guest005@example.com</x:v>
      </x:c>
      <x:c r="E6" s="11" t="str">
        <x:v>+46 70 000 0005</x:v>
      </x:c>
      <x:c r="F6" s="11" t="str">
        <x:v>Website</x:v>
      </x:c>
      <x:c r="G6" s="11" t="str">
        <x:v>Zabito South</x:v>
      </x:c>
      <x:c r="H6" s="11" t="str">
        <x:v>Shared Room</x:v>
      </x:c>
      <x:c r="I6" s="14" t="n">
        <x:v>46267</x:v>
      </x:c>
      <x:c r="J6" s="11" t="n">
        <x:v>9</x:v>
      </x:c>
      <x:c r="K6" s="16" t="n">
        <x:v>5500</x:v>
      </x:c>
      <x:c r="L6" s="11" t="str">
        <x:v>New</x:v>
      </x:c>
      <x:c r="M6" s="14" t="n">
        <x:v>46243</x:v>
      </x:c>
      <x:c r="N6" s="11" t="str">
        <x:v>Agent C</x:v>
      </x:c>
      <x:c r="O6" s="11" t="str">
        <x:v>Needs flexible move-in date.</x:v>
      </x:c>
    </x:row>
    <x:row r="7">
      <x:c r="A7" s="11" t="str">
        <x:v>ENQ-2026006</x:v>
      </x:c>
      <x:c r="B7" s="14" t="n">
        <x:v>46242</x:v>
      </x:c>
      <x:c r="C7" s="11" t="str">
        <x:v>Sample Guest 006</x:v>
      </x:c>
      <x:c r="D7" s="11" t="str">
        <x:v>guest006@example.com</x:v>
      </x:c>
      <x:c r="E7" s="11" t="str">
        <x:v>+46 70 000 0006</x:v>
      </x:c>
      <x:c r="F7" s="11" t="str">
        <x:v>Email</x:v>
      </x:c>
      <x:c r="G7" s="11" t="str">
        <x:v>Zabito South</x:v>
      </x:c>
      <x:c r="H7" s="11" t="str">
        <x:v>Single Room</x:v>
      </x:c>
      <x:c r="I7" s="14" t="n">
        <x:v>46269</x:v>
      </x:c>
      <x:c r="J7" s="11" t="n">
        <x:v>12</x:v>
      </x:c>
      <x:c r="K7" s="16" t="n">
        <x:v>5500</x:v>
      </x:c>
      <x:c r="L7" s="11" t="str">
        <x:v>New</x:v>
      </x:c>
      <x:c r="M7" s="14" t="n">
        <x:v>46247</x:v>
      </x:c>
      <x:c r="N7" s="11" t="str">
        <x:v>Agent C</x:v>
      </x:c>
      <x:c r="O7" s="11" t="str">
        <x:v>Requested viewing before decision.</x:v>
      </x:c>
    </x:row>
    <x:row r="8">
      <x:c r="A8" s="11" t="str">
        <x:v>ENQ-2026007</x:v>
      </x:c>
      <x:c r="B8" s="14" t="n">
        <x:v>46239</x:v>
      </x:c>
      <x:c r="C8" s="11" t="str">
        <x:v>Sample Guest 007</x:v>
      </x:c>
      <x:c r="D8" s="11" t="str">
        <x:v>guest007@example.com</x:v>
      </x:c>
      <x:c r="E8" s="11" t="str">
        <x:v>+46 70 000 0007</x:v>
      </x:c>
      <x:c r="F8" s="11" t="str">
        <x:v>Website</x:v>
      </x:c>
      <x:c r="G8" s="11" t="str">
        <x:v>Zabito North</x:v>
      </x:c>
      <x:c r="H8" s="11" t="str">
        <x:v>Shared Room</x:v>
      </x:c>
      <x:c r="I8" s="14" t="n">
        <x:v>46244</x:v>
      </x:c>
      <x:c r="J8" s="11" t="n">
        <x:v>1</x:v>
      </x:c>
      <x:c r="K8" s="16" t="n">
        <x:v>5500</x:v>
      </x:c>
      <x:c r="L8" s="11" t="str">
        <x:v>Contacted</x:v>
      </x:c>
      <x:c r="M8" s="14" t="n">
        <x:v>46246</x:v>
      </x:c>
      <x:c r="N8" s="11" t="str">
        <x:v>Agent B</x:v>
      </x:c>
      <x:c r="O8" s="11" t="str">
        <x:v>Prefers a quiet room.</x:v>
      </x:c>
    </x:row>
    <x:row r="9">
      <x:c r="A9" s="11" t="str">
        <x:v>ENQ-2026008</x:v>
      </x:c>
      <x:c r="B9" s="14" t="n">
        <x:v>46275</x:v>
      </x:c>
      <x:c r="C9" s="11" t="str">
        <x:v>Sample Guest 008</x:v>
      </x:c>
      <x:c r="D9" s="11" t="str">
        <x:v>guest008@example.com</x:v>
      </x:c>
      <x:c r="E9" s="11" t="str">
        <x:v>+46 70 000 0008</x:v>
      </x:c>
      <x:c r="F9" s="11" t="str">
        <x:v>Website</x:v>
      </x:c>
      <x:c r="G9" s="11" t="str">
        <x:v>Zabito South</x:v>
      </x:c>
      <x:c r="H9" s="11" t="str">
        <x:v>Studio</x:v>
      </x:c>
      <x:c r="I9" s="14" t="n">
        <x:v>46301</x:v>
      </x:c>
      <x:c r="J9" s="11" t="n">
        <x:v>2</x:v>
      </x:c>
      <x:c r="K9" s="16" t="n">
        <x:v>5500</x:v>
      </x:c>
      <x:c r="L9" s="11" t="str">
        <x:v>Contacted</x:v>
      </x:c>
      <x:c r="M9" s="14" t="n">
        <x:v>46278</x:v>
      </x:c>
      <x:c r="N9" s="11" t="str">
        <x:v>Agent A</x:v>
      </x:c>
      <x:c r="O9" s="11" t="str">
        <x:v>Needs flexible move-in date.</x:v>
      </x:c>
    </x:row>
    <x:row r="10">
      <x:c r="A10" s="11" t="str">
        <x:v>ENQ-2026009</x:v>
      </x:c>
      <x:c r="B10" s="14" t="n">
        <x:v>46269</x:v>
      </x:c>
      <x:c r="C10" s="11" t="str">
        <x:v>Sample Guest 009</x:v>
      </x:c>
      <x:c r="D10" s="11" t="str">
        <x:v>guest009@example.com</x:v>
      </x:c>
      <x:c r="E10" s="11" t="str">
        <x:v>+46 70 000 0009</x:v>
      </x:c>
      <x:c r="F10" s="11" t="str">
        <x:v>WhatsApp</x:v>
      </x:c>
      <x:c r="G10" s="11" t="str">
        <x:v>Zabito South</x:v>
      </x:c>
      <x:c r="H10" s="11" t="str">
        <x:v>Shared Room</x:v>
      </x:c>
      <x:c r="I10" s="14" t="n">
        <x:v>46287</x:v>
      </x:c>
      <x:c r="J10" s="11" t="n">
        <x:v>3</x:v>
      </x:c>
      <x:c r="K10" s="16" t="n">
        <x:v>6000</x:v>
      </x:c>
      <x:c r="L10" s="11" t="str">
        <x:v>Contacted</x:v>
      </x:c>
      <x:c r="M10" s="14" t="n">
        <x:v>46273</x:v>
      </x:c>
      <x:c r="N10" s="11" t="str">
        <x:v>Agent A</x:v>
      </x:c>
      <x:c r="O10" s="11" t="str">
        <x:v>Requested viewing before decision.</x:v>
      </x:c>
    </x:row>
    <x:row r="11">
      <x:c r="A11" s="11" t="str">
        <x:v>ENQ-2026010</x:v>
      </x:c>
      <x:c r="B11" s="14" t="n">
        <x:v>46249</x:v>
      </x:c>
      <x:c r="C11" s="11" t="str">
        <x:v>Sample Guest 010</x:v>
      </x:c>
      <x:c r="D11" s="11" t="str">
        <x:v>guest010@example.com</x:v>
      </x:c>
      <x:c r="E11" s="11" t="str">
        <x:v>+46 70 000 0010</x:v>
      </x:c>
      <x:c r="F11" s="11" t="str">
        <x:v>Referral</x:v>
      </x:c>
      <x:c r="G11" s="11" t="str">
        <x:v>Zabito South</x:v>
      </x:c>
      <x:c r="H11" s="11" t="str">
        <x:v>Shared Room</x:v>
      </x:c>
      <x:c r="I11" s="14" t="n">
        <x:v>46254</x:v>
      </x:c>
      <x:c r="J11" s="11" t="n">
        <x:v>1</x:v>
      </x:c>
      <x:c r="K11" s="16" t="n">
        <x:v>5500</x:v>
      </x:c>
      <x:c r="L11" s="11" t="str">
        <x:v>Viewing Booked</x:v>
      </x:c>
      <x:c r="M11" s="14" t="n">
        <x:v>46253</x:v>
      </x:c>
      <x:c r="N11" s="11" t="str">
        <x:v>Agent A</x:v>
      </x:c>
      <x:c r="O11" s="11" t="str">
        <x:v>Prefers a quiet room.</x:v>
      </x:c>
    </x:row>
    <x:row r="12">
      <x:c r="A12" s="11" t="str">
        <x:v>ENQ-2026011</x:v>
      </x:c>
      <x:c r="B12" s="14" t="n">
        <x:v>46276</x:v>
      </x:c>
      <x:c r="C12" s="11" t="str">
        <x:v>Sample Guest 011</x:v>
      </x:c>
      <x:c r="D12" s="11" t="str">
        <x:v>guest011@example.com</x:v>
      </x:c>
      <x:c r="E12" s="11" t="str">
        <x:v>+46 70 000 0011</x:v>
      </x:c>
      <x:c r="F12" s="11" t="str">
        <x:v>Email</x:v>
      </x:c>
      <x:c r="G12" s="11" t="str">
        <x:v>Zabito Central</x:v>
      </x:c>
      <x:c r="H12" s="11" t="str">
        <x:v>Single Room</x:v>
      </x:c>
      <x:c r="I12" s="14" t="n">
        <x:v>46310</x:v>
      </x:c>
      <x:c r="J12" s="11" t="n">
        <x:v>6</x:v>
      </x:c>
      <x:c r="K12" s="16" t="n">
        <x:v>7000</x:v>
      </x:c>
      <x:c r="L12" s="11" t="str">
        <x:v>Converted</x:v>
      </x:c>
      <x:c r="M12" s="14"/>
      <x:c r="N12" s="11" t="str">
        <x:v>Agent C</x:v>
      </x:c>
      <x:c r="O12" s="11" t="str">
        <x:v>Prefers a quiet room.</x:v>
      </x:c>
    </x:row>
    <x:row r="13">
      <x:c r="A13" s="11" t="str">
        <x:v>ENQ-2026012</x:v>
      </x:c>
      <x:c r="B13" s="14" t="n">
        <x:v>46270</x:v>
      </x:c>
      <x:c r="C13" s="11" t="str">
        <x:v>Sample Guest 012</x:v>
      </x:c>
      <x:c r="D13" s="11" t="str">
        <x:v>guest012@example.com</x:v>
      </x:c>
      <x:c r="E13" s="11" t="str">
        <x:v>+46 70 000 0012</x:v>
      </x:c>
      <x:c r="F13" s="11" t="str">
        <x:v>Phone</x:v>
      </x:c>
      <x:c r="G13" s="11" t="str">
        <x:v>Zabito North</x:v>
      </x:c>
      <x:c r="H13" s="11" t="str">
        <x:v>Single Room</x:v>
      </x:c>
      <x:c r="I13" s="14" t="n">
        <x:v>46307</x:v>
      </x:c>
      <x:c r="J13" s="11" t="n">
        <x:v>6</x:v>
      </x:c>
      <x:c r="K13" s="16" t="n">
        <x:v>6500</x:v>
      </x:c>
      <x:c r="L13" s="11" t="str">
        <x:v>Viewing Booked</x:v>
      </x:c>
      <x:c r="M13" s="14" t="n">
        <x:v>46276</x:v>
      </x:c>
      <x:c r="N13" s="11" t="str">
        <x:v>Agent A</x:v>
      </x:c>
      <x:c r="O13" s="11" t="str">
        <x:v>Requested viewing before decision.</x:v>
      </x:c>
    </x:row>
    <x:row r="14">
      <x:c r="A14" s="11" t="str">
        <x:v>ENQ-2026013</x:v>
      </x:c>
      <x:c r="B14" s="14" t="n">
        <x:v>46267</x:v>
      </x:c>
      <x:c r="C14" s="11" t="str">
        <x:v>Sample Guest 013</x:v>
      </x:c>
      <x:c r="D14" s="11" t="str">
        <x:v>guest013@example.com</x:v>
      </x:c>
      <x:c r="E14" s="11" t="str">
        <x:v>+46 70 000 0013</x:v>
      </x:c>
      <x:c r="F14" s="11" t="str">
        <x:v>WhatsApp</x:v>
      </x:c>
      <x:c r="G14" s="11" t="str">
        <x:v>Zabito South</x:v>
      </x:c>
      <x:c r="H14" s="11" t="str">
        <x:v>Shared Room</x:v>
      </x:c>
      <x:c r="I14" s="14" t="n">
        <x:v>46301</x:v>
      </x:c>
      <x:c r="J14" s="11" t="n">
        <x:v>1</x:v>
      </x:c>
      <x:c r="K14" s="16" t="n">
        <x:v>4500</x:v>
      </x:c>
      <x:c r="L14" s="11" t="str">
        <x:v>New</x:v>
      </x:c>
      <x:c r="M14" s="14" t="n">
        <x:v>46274</x:v>
      </x:c>
      <x:c r="N14" s="11" t="str">
        <x:v>Agent C</x:v>
      </x:c>
      <x:c r="O14" s="11" t="str">
        <x:v>Prefers a quiet room.</x:v>
      </x:c>
    </x:row>
    <x:row r="15">
      <x:c r="A15" s="11" t="str">
        <x:v>ENQ-2026014</x:v>
      </x:c>
      <x:c r="B15" s="14" t="n">
        <x:v>46239</x:v>
      </x:c>
      <x:c r="C15" s="11" t="str">
        <x:v>Sample Guest 014</x:v>
      </x:c>
      <x:c r="D15" s="11" t="str">
        <x:v>guest014@example.com</x:v>
      </x:c>
      <x:c r="E15" s="11" t="str">
        <x:v>+46 70 000 0014</x:v>
      </x:c>
      <x:c r="F15" s="11" t="str">
        <x:v>Email</x:v>
      </x:c>
      <x:c r="G15" s="11" t="str">
        <x:v>Zabito South</x:v>
      </x:c>
      <x:c r="H15" s="11" t="str">
        <x:v>Single Room</x:v>
      </x:c>
      <x:c r="I15" s="14" t="n">
        <x:v>46266</x:v>
      </x:c>
      <x:c r="J15" s="11" t="n">
        <x:v>6</x:v>
      </x:c>
      <x:c r="K15" s="16" t="n">
        <x:v>6500</x:v>
      </x:c>
      <x:c r="L15" s="11" t="str">
        <x:v>Converted</x:v>
      </x:c>
      <x:c r="M15" s="14"/>
      <x:c r="N15" s="11" t="str">
        <x:v>Agent C</x:v>
      </x:c>
      <x:c r="O15" s="11" t="str">
        <x:v>Requested viewing before decision.</x:v>
      </x:c>
    </x:row>
    <x:row r="16">
      <x:c r="A16" s="11" t="str">
        <x:v>ENQ-2026015</x:v>
      </x:c>
      <x:c r="B16" s="14" t="n">
        <x:v>46242</x:v>
      </x:c>
      <x:c r="C16" s="11" t="str">
        <x:v>Sample Guest 015</x:v>
      </x:c>
      <x:c r="D16" s="11" t="str">
        <x:v>guest015@example.com</x:v>
      </x:c>
      <x:c r="E16" s="11" t="str">
        <x:v>+46 70 000 0015</x:v>
      </x:c>
      <x:c r="F16" s="11" t="str">
        <x:v>Email</x:v>
      </x:c>
      <x:c r="G16" s="11" t="str">
        <x:v>Zabito North</x:v>
      </x:c>
      <x:c r="H16" s="11" t="str">
        <x:v>Single Room</x:v>
      </x:c>
      <x:c r="I16" s="14" t="n">
        <x:v>46279</x:v>
      </x:c>
      <x:c r="J16" s="11" t="n">
        <x:v>3</x:v>
      </x:c>
      <x:c r="K16" s="16" t="n">
        <x:v>7000</x:v>
      </x:c>
      <x:c r="L16" s="11" t="str">
        <x:v>Viewing Booked</x:v>
      </x:c>
      <x:c r="M16" s="14" t="n">
        <x:v>46249</x:v>
      </x:c>
      <x:c r="N16" s="11" t="str">
        <x:v>Agent B</x:v>
      </x:c>
      <x:c r="O16" s="11" t="str">
        <x:v>Asked about Wi-Fi and laundry.</x:v>
      </x:c>
    </x:row>
    <x:row r="17">
      <x:c r="A17" s="11" t="str">
        <x:v>ENQ-2026016</x:v>
      </x:c>
      <x:c r="B17" s="14" t="n">
        <x:v>46235</x:v>
      </x:c>
      <x:c r="C17" s="11" t="str">
        <x:v>Sample Guest 016</x:v>
      </x:c>
      <x:c r="D17" s="11" t="str">
        <x:v>guest016@example.com</x:v>
      </x:c>
      <x:c r="E17" s="11" t="str">
        <x:v>+46 70 000 0016</x:v>
      </x:c>
      <x:c r="F17" s="11" t="str">
        <x:v>Email</x:v>
      </x:c>
      <x:c r="G17" s="11" t="str">
        <x:v>Zabito South</x:v>
      </x:c>
      <x:c r="H17" s="11" t="str">
        <x:v>Studio</x:v>
      </x:c>
      <x:c r="I17" s="14" t="n">
        <x:v>46254</x:v>
      </x:c>
      <x:c r="J17" s="11" t="n">
        <x:v>9</x:v>
      </x:c>
      <x:c r="K17" s="16" t="n">
        <x:v>5000</x:v>
      </x:c>
      <x:c r="L17" s="11" t="str">
        <x:v>Closed</x:v>
      </x:c>
      <x:c r="M17" s="14"/>
      <x:c r="N17" s="11" t="str">
        <x:v>Agent C</x:v>
      </x:c>
      <x:c r="O17" s="11" t="str">
        <x:v>Asked about Wi-Fi and laundry.</x:v>
      </x:c>
    </x:row>
    <x:row r="18">
      <x:c r="A18" s="11" t="str">
        <x:v>ENQ-2026017</x:v>
      </x:c>
      <x:c r="B18" s="14" t="n">
        <x:v>46247</x:v>
      </x:c>
      <x:c r="C18" s="11" t="str">
        <x:v>Sample Guest 017</x:v>
      </x:c>
      <x:c r="D18" s="11" t="str">
        <x:v>guest017@example.com</x:v>
      </x:c>
      <x:c r="E18" s="11" t="str">
        <x:v>+46 70 000 0017</x:v>
      </x:c>
      <x:c r="F18" s="11" t="str">
        <x:v>Website</x:v>
      </x:c>
      <x:c r="G18" s="11" t="str">
        <x:v>Zabito South</x:v>
      </x:c>
      <x:c r="H18" s="11" t="str">
        <x:v>Shared Room</x:v>
      </x:c>
      <x:c r="I18" s="14" t="n">
        <x:v>46259</x:v>
      </x:c>
      <x:c r="J18" s="11" t="n">
        <x:v>9</x:v>
      </x:c>
      <x:c r="K18" s="16" t="n">
        <x:v>5000</x:v>
      </x:c>
      <x:c r="L18" s="11" t="str">
        <x:v>Viewing Booked</x:v>
      </x:c>
      <x:c r="M18" s="14" t="n">
        <x:v>46254</x:v>
      </x:c>
      <x:c r="N18" s="11" t="str">
        <x:v>Agent B</x:v>
      </x:c>
      <x:c r="O18" s="11" t="str">
        <x:v>Requested viewing before decision.</x:v>
      </x:c>
    </x:row>
    <x:row r="19">
      <x:c r="A19" s="11" t="str">
        <x:v>ENQ-2026018</x:v>
      </x:c>
      <x:c r="B19" s="14" t="n">
        <x:v>46236</x:v>
      </x:c>
      <x:c r="C19" s="11" t="str">
        <x:v>Sample Guest 018</x:v>
      </x:c>
      <x:c r="D19" s="11" t="str">
        <x:v>guest018@example.com</x:v>
      </x:c>
      <x:c r="E19" s="11" t="str">
        <x:v>+46 70 000 0018</x:v>
      </x:c>
      <x:c r="F19" s="11" t="str">
        <x:v>WhatsApp</x:v>
      </x:c>
      <x:c r="G19" s="11" t="str">
        <x:v>Zabito South</x:v>
      </x:c>
      <x:c r="H19" s="11" t="str">
        <x:v>Single Room</x:v>
      </x:c>
      <x:c r="I19" s="14" t="n">
        <x:v>46246</x:v>
      </x:c>
      <x:c r="J19" s="11" t="n">
        <x:v>2</x:v>
      </x:c>
      <x:c r="K19" s="16" t="n">
        <x:v>5500</x:v>
      </x:c>
      <x:c r="L19" s="11" t="str">
        <x:v>Viewing Booked</x:v>
      </x:c>
      <x:c r="M19" s="14" t="n">
        <x:v>46243</x:v>
      </x:c>
      <x:c r="N19" s="11" t="str">
        <x:v>Agent A</x:v>
      </x:c>
      <x:c r="O19" s="11" t="str">
        <x:v>Asked about Wi-Fi and laundry.</x:v>
      </x:c>
    </x:row>
    <x:row r="20">
      <x:c r="A20" s="11" t="str">
        <x:v>ENQ-2026019</x:v>
      </x:c>
      <x:c r="B20" s="14" t="n">
        <x:v>46266</x:v>
      </x:c>
      <x:c r="C20" s="11" t="str">
        <x:v>Sample Guest 019</x:v>
      </x:c>
      <x:c r="D20" s="11" t="str">
        <x:v>guest019@example.com</x:v>
      </x:c>
      <x:c r="E20" s="11" t="str">
        <x:v>+46 70 000 0019</x:v>
      </x:c>
      <x:c r="F20" s="11" t="str">
        <x:v>Referral</x:v>
      </x:c>
      <x:c r="G20" s="11" t="str">
        <x:v>Zabito Central</x:v>
      </x:c>
      <x:c r="H20" s="11" t="str">
        <x:v>Shared Room</x:v>
      </x:c>
      <x:c r="I20" s="14" t="n">
        <x:v>46273</x:v>
      </x:c>
      <x:c r="J20" s="11" t="n">
        <x:v>2</x:v>
      </x:c>
      <x:c r="K20" s="16" t="n">
        <x:v>5000</x:v>
      </x:c>
      <x:c r="L20" s="11" t="str">
        <x:v>Closed</x:v>
      </x:c>
      <x:c r="M20" s="14"/>
      <x:c r="N20" s="11" t="str">
        <x:v>Agent C</x:v>
      </x:c>
      <x:c r="O20" s="11" t="str">
        <x:v>Interested in long-term stay.</x:v>
      </x:c>
    </x:row>
    <x:row r="21">
      <x:c r="A21" s="11" t="str">
        <x:v>ENQ-2026020</x:v>
      </x:c>
      <x:c r="B21" s="14" t="n">
        <x:v>46273</x:v>
      </x:c>
      <x:c r="C21" s="11" t="str">
        <x:v>Sample Guest 020</x:v>
      </x:c>
      <x:c r="D21" s="11" t="str">
        <x:v>guest020@example.com</x:v>
      </x:c>
      <x:c r="E21" s="11" t="str">
        <x:v>+46 70 000 0020</x:v>
      </x:c>
      <x:c r="F21" s="11" t="str">
        <x:v>Email</x:v>
      </x:c>
      <x:c r="G21" s="11" t="str">
        <x:v>Zabito North</x:v>
      </x:c>
      <x:c r="H21" s="11" t="str">
        <x:v>Studio</x:v>
      </x:c>
      <x:c r="I21" s="14" t="n">
        <x:v>46303</x:v>
      </x:c>
      <x:c r="J21" s="11" t="n">
        <x:v>12</x:v>
      </x:c>
      <x:c r="K21" s="16" t="n">
        <x:v>7000</x:v>
      </x:c>
      <x:c r="L21" s="11" t="str">
        <x:v>Contacted</x:v>
      </x:c>
      <x:c r="M21" s="14" t="n">
        <x:v>46278</x:v>
      </x:c>
      <x:c r="N21" s="11" t="str">
        <x:v>Agent C</x:v>
      </x:c>
      <x:c r="O21" s="11" t="str">
        <x:v>Prefers a quiet room.</x:v>
      </x:c>
    </x:row>
    <x:row r="22">
      <x:c r="A22" s="11" t="str">
        <x:v>ENQ-2026021</x:v>
      </x:c>
      <x:c r="B22" s="14" t="n">
        <x:v>46258</x:v>
      </x:c>
      <x:c r="C22" s="11" t="str">
        <x:v>Sample Guest 021</x:v>
      </x:c>
      <x:c r="D22" s="11" t="str">
        <x:v>guest021@example.com</x:v>
      </x:c>
      <x:c r="E22" s="11" t="str">
        <x:v>+46 70 000 0021</x:v>
      </x:c>
      <x:c r="F22" s="11" t="str">
        <x:v>WhatsApp</x:v>
      </x:c>
      <x:c r="G22" s="11" t="str">
        <x:v>Zabito Central</x:v>
      </x:c>
      <x:c r="H22" s="11" t="str">
        <x:v>Shared Room</x:v>
      </x:c>
      <x:c r="I22" s="14" t="n">
        <x:v>46289</x:v>
      </x:c>
      <x:c r="J22" s="11" t="n">
        <x:v>1</x:v>
      </x:c>
      <x:c r="K22" s="16" t="n">
        <x:v>6000</x:v>
      </x:c>
      <x:c r="L22" s="11" t="str">
        <x:v>Closed</x:v>
      </x:c>
      <x:c r="M22" s="14"/>
      <x:c r="N22" s="11" t="str">
        <x:v>Agent A</x:v>
      </x:c>
      <x:c r="O22" s="11" t="str">
        <x:v>Prefers a quiet room.</x:v>
      </x:c>
    </x:row>
    <x:row r="23">
      <x:c r="A23" s="11" t="str">
        <x:v>ENQ-2026022</x:v>
      </x:c>
      <x:c r="B23" s="14" t="n">
        <x:v>46272</x:v>
      </x:c>
      <x:c r="C23" s="11" t="str">
        <x:v>Sample Guest 022</x:v>
      </x:c>
      <x:c r="D23" s="11" t="str">
        <x:v>guest022@example.com</x:v>
      </x:c>
      <x:c r="E23" s="11" t="str">
        <x:v>+46 70 000 0022</x:v>
      </x:c>
      <x:c r="F23" s="11" t="str">
        <x:v>Website</x:v>
      </x:c>
      <x:c r="G23" s="11" t="str">
        <x:v>Zabito Central</x:v>
      </x:c>
      <x:c r="H23" s="11" t="str">
        <x:v>Single Room</x:v>
      </x:c>
      <x:c r="I23" s="14" t="n">
        <x:v>46310</x:v>
      </x:c>
      <x:c r="J23" s="11" t="n">
        <x:v>1</x:v>
      </x:c>
      <x:c r="K23" s="16" t="n">
        <x:v>5000</x:v>
      </x:c>
      <x:c r="L23" s="11" t="str">
        <x:v>Contacted</x:v>
      </x:c>
      <x:c r="M23" s="14" t="n">
        <x:v>46277</x:v>
      </x:c>
      <x:c r="N23" s="11" t="str">
        <x:v>Agent A</x:v>
      </x:c>
      <x:c r="O23" s="11" t="str">
        <x:v>Asked about Wi-Fi and laundry.</x:v>
      </x:c>
    </x:row>
    <x:row r="24">
      <x:c r="A24" s="11" t="str">
        <x:v>ENQ-2026023</x:v>
      </x:c>
      <x:c r="B24" s="14" t="n">
        <x:v>46256</x:v>
      </x:c>
      <x:c r="C24" s="11" t="str">
        <x:v>Sample Guest 023</x:v>
      </x:c>
      <x:c r="D24" s="11" t="str">
        <x:v>guest023@example.com</x:v>
      </x:c>
      <x:c r="E24" s="11" t="str">
        <x:v>+46 70 000 0023</x:v>
      </x:c>
      <x:c r="F24" s="11" t="str">
        <x:v>WhatsApp</x:v>
      </x:c>
      <x:c r="G24" s="11" t="str">
        <x:v>Zabito South</x:v>
      </x:c>
      <x:c r="H24" s="11" t="str">
        <x:v>Single Room</x:v>
      </x:c>
      <x:c r="I24" s="14" t="n">
        <x:v>46263</x:v>
      </x:c>
      <x:c r="J24" s="11" t="n">
        <x:v>3</x:v>
      </x:c>
      <x:c r="K24" s="16" t="n">
        <x:v>5000</x:v>
      </x:c>
      <x:c r="L24" s="11" t="str">
        <x:v>Closed</x:v>
      </x:c>
      <x:c r="M24" s="14"/>
      <x:c r="N24" s="11" t="str">
        <x:v>Agent C</x:v>
      </x:c>
      <x:c r="O24" s="11" t="str">
        <x:v>Interested in long-term stay.</x:v>
      </x:c>
    </x:row>
    <x:row r="25">
      <x:c r="A25" s="11" t="str">
        <x:v>ENQ-2026024</x:v>
      </x:c>
      <x:c r="B25" s="14" t="n">
        <x:v>46271</x:v>
      </x:c>
      <x:c r="C25" s="11" t="str">
        <x:v>Sample Guest 024</x:v>
      </x:c>
      <x:c r="D25" s="11" t="str">
        <x:v>guest024@example.com</x:v>
      </x:c>
      <x:c r="E25" s="11" t="str">
        <x:v>+46 70 000 0024</x:v>
      </x:c>
      <x:c r="F25" s="11" t="str">
        <x:v>WhatsApp</x:v>
      </x:c>
      <x:c r="G25" s="11" t="str">
        <x:v>Zabito Central</x:v>
      </x:c>
      <x:c r="H25" s="11" t="str">
        <x:v>Single Room</x:v>
      </x:c>
      <x:c r="I25" s="14" t="n">
        <x:v>46310</x:v>
      </x:c>
      <x:c r="J25" s="11" t="n">
        <x:v>6</x:v>
      </x:c>
      <x:c r="K25" s="16" t="n">
        <x:v>5000</x:v>
      </x:c>
      <x:c r="L25" s="11" t="str">
        <x:v>Converted</x:v>
      </x:c>
      <x:c r="M25" s="14"/>
      <x:c r="N25" s="11" t="str">
        <x:v>Agent C</x:v>
      </x:c>
      <x:c r="O25" s="11" t="str">
        <x:v>Interested in long-term stay.</x:v>
      </x:c>
    </x:row>
    <x:row r="26">
      <x:c r="A26" s="11" t="str">
        <x:v>ENQ-2026025</x:v>
      </x:c>
      <x:c r="B26" s="14" t="n">
        <x:v>46262</x:v>
      </x:c>
      <x:c r="C26" s="11" t="str">
        <x:v>Sample Guest 025</x:v>
      </x:c>
      <x:c r="D26" s="11" t="str">
        <x:v>guest025@example.com</x:v>
      </x:c>
      <x:c r="E26" s="11" t="str">
        <x:v>+46 70 000 0025</x:v>
      </x:c>
      <x:c r="F26" s="11" t="str">
        <x:v>Website</x:v>
      </x:c>
      <x:c r="G26" s="11" t="str">
        <x:v>Zabito Central</x:v>
      </x:c>
      <x:c r="H26" s="11" t="str">
        <x:v>Shared Room</x:v>
      </x:c>
      <x:c r="I26" s="14" t="n">
        <x:v>46287</x:v>
      </x:c>
      <x:c r="J26" s="11" t="n">
        <x:v>6</x:v>
      </x:c>
      <x:c r="K26" s="16" t="n">
        <x:v>6000</x:v>
      </x:c>
      <x:c r="L26" s="11" t="str">
        <x:v>Converted</x:v>
      </x:c>
      <x:c r="M26" s="14"/>
      <x:c r="N26" s="11" t="str">
        <x:v>Agent C</x:v>
      </x:c>
      <x:c r="O26" s="11" t="str">
        <x:v>Asked about Wi-Fi and laundry.</x:v>
      </x:c>
    </x:row>
    <x:row r="27">
      <x:c r="A27" s="11" t="str">
        <x:v>ENQ-2026026</x:v>
      </x:c>
      <x:c r="B27" s="14" t="n">
        <x:v>46256</x:v>
      </x:c>
      <x:c r="C27" s="11" t="str">
        <x:v>Sample Guest 026</x:v>
      </x:c>
      <x:c r="D27" s="11" t="str">
        <x:v>guest026@example.com</x:v>
      </x:c>
      <x:c r="E27" s="11" t="str">
        <x:v>+46 70 000 0026</x:v>
      </x:c>
      <x:c r="F27" s="11" t="str">
        <x:v>WhatsApp</x:v>
      </x:c>
      <x:c r="G27" s="11" t="str">
        <x:v>Zabito North</x:v>
      </x:c>
      <x:c r="H27" s="11" t="str">
        <x:v>Single Room</x:v>
      </x:c>
      <x:c r="I27" s="14" t="n">
        <x:v>46265</x:v>
      </x:c>
      <x:c r="J27" s="11" t="n">
        <x:v>9</x:v>
      </x:c>
      <x:c r="K27" s="16" t="n">
        <x:v>5000</x:v>
      </x:c>
      <x:c r="L27" s="11" t="str">
        <x:v>Contacted</x:v>
      </x:c>
      <x:c r="M27" s="14" t="n">
        <x:v>46258</x:v>
      </x:c>
      <x:c r="N27" s="11" t="str">
        <x:v>Agent B</x:v>
      </x:c>
      <x:c r="O27" s="11" t="str">
        <x:v>Interested in long-term stay.</x:v>
      </x:c>
    </x:row>
    <x:row r="28">
      <x:c r="A28" s="11" t="str">
        <x:v>ENQ-2026027</x:v>
      </x:c>
      <x:c r="B28" s="14" t="n">
        <x:v>46264</x:v>
      </x:c>
      <x:c r="C28" s="11" t="str">
        <x:v>Sample Guest 027</x:v>
      </x:c>
      <x:c r="D28" s="11" t="str">
        <x:v>guest027@example.com</x:v>
      </x:c>
      <x:c r="E28" s="11" t="str">
        <x:v>+46 70 000 0027</x:v>
      </x:c>
      <x:c r="F28" s="11" t="str">
        <x:v>Referral</x:v>
      </x:c>
      <x:c r="G28" s="11" t="str">
        <x:v>Zabito Central</x:v>
      </x:c>
      <x:c r="H28" s="11" t="str">
        <x:v>Single Room</x:v>
      </x:c>
      <x:c r="I28" s="14" t="n">
        <x:v>46282</x:v>
      </x:c>
      <x:c r="J28" s="11" t="n">
        <x:v>1</x:v>
      </x:c>
      <x:c r="K28" s="16" t="n">
        <x:v>6500</x:v>
      </x:c>
      <x:c r="L28" s="11" t="str">
        <x:v>New</x:v>
      </x:c>
      <x:c r="M28" s="14" t="n">
        <x:v>46268</x:v>
      </x:c>
      <x:c r="N28" s="11" t="str">
        <x:v>Agent A</x:v>
      </x:c>
      <x:c r="O28" s="11" t="str">
        <x:v>Asked about Wi-Fi and laundry.</x:v>
      </x:c>
    </x:row>
    <x:row r="29">
      <x:c r="A29" s="11" t="str">
        <x:v>ENQ-2026028</x:v>
      </x:c>
      <x:c r="B29" s="14" t="n">
        <x:v>46245</x:v>
      </x:c>
      <x:c r="C29" s="11" t="str">
        <x:v>Sample Guest 028</x:v>
      </x:c>
      <x:c r="D29" s="11" t="str">
        <x:v>guest028@example.com</x:v>
      </x:c>
      <x:c r="E29" s="11" t="str">
        <x:v>+46 70 000 0028</x:v>
      </x:c>
      <x:c r="F29" s="11" t="str">
        <x:v>Website</x:v>
      </x:c>
      <x:c r="G29" s="11" t="str">
        <x:v>Zabito Central</x:v>
      </x:c>
      <x:c r="H29" s="11" t="str">
        <x:v>Shared Room</x:v>
      </x:c>
      <x:c r="I29" s="14" t="n">
        <x:v>46274</x:v>
      </x:c>
      <x:c r="J29" s="11" t="n">
        <x:v>2</x:v>
      </x:c>
      <x:c r="K29" s="16" t="n">
        <x:v>6000</x:v>
      </x:c>
      <x:c r="L29" s="11" t="str">
        <x:v>Converted</x:v>
      </x:c>
      <x:c r="M29" s="14"/>
      <x:c r="N29" s="11" t="str">
        <x:v>Agent A</x:v>
      </x:c>
      <x:c r="O29" s="11" t="str">
        <x:v>Interested in long-term stay.</x:v>
      </x:c>
    </x:row>
    <x:row r="30">
      <x:c r="A30" s="11" t="str">
        <x:v>ENQ-2026029</x:v>
      </x:c>
      <x:c r="B30" s="14" t="n">
        <x:v>46259</x:v>
      </x:c>
      <x:c r="C30" s="11" t="str">
        <x:v>Sample Guest 029</x:v>
      </x:c>
      <x:c r="D30" s="11" t="str">
        <x:v>guest029@example.com</x:v>
      </x:c>
      <x:c r="E30" s="11" t="str">
        <x:v>+46 70 000 0029</x:v>
      </x:c>
      <x:c r="F30" s="11" t="str">
        <x:v>Phone</x:v>
      </x:c>
      <x:c r="G30" s="11" t="str">
        <x:v>Zabito Central</x:v>
      </x:c>
      <x:c r="H30" s="11" t="str">
        <x:v>Single Room</x:v>
      </x:c>
      <x:c r="I30" s="14" t="n">
        <x:v>46278</x:v>
      </x:c>
      <x:c r="J30" s="11" t="n">
        <x:v>6</x:v>
      </x:c>
      <x:c r="K30" s="16" t="n">
        <x:v>5500</x:v>
      </x:c>
      <x:c r="L30" s="11" t="str">
        <x:v>Converted</x:v>
      </x:c>
      <x:c r="M30" s="14"/>
      <x:c r="N30" s="11" t="str">
        <x:v>Agent B</x:v>
      </x:c>
      <x:c r="O30" s="11" t="str">
        <x:v>Requested viewing before decision.</x:v>
      </x:c>
    </x:row>
    <x:row r="31">
      <x:c r="A31" s="11" t="str">
        <x:v>ENQ-2026030</x:v>
      </x:c>
      <x:c r="B31" s="14" t="n">
        <x:v>46248</x:v>
      </x:c>
      <x:c r="C31" s="11" t="str">
        <x:v>Sample Guest 030</x:v>
      </x:c>
      <x:c r="D31" s="11" t="str">
        <x:v>guest030@example.com</x:v>
      </x:c>
      <x:c r="E31" s="11" t="str">
        <x:v>+46 70 000 0030</x:v>
      </x:c>
      <x:c r="F31" s="11" t="str">
        <x:v>Email</x:v>
      </x:c>
      <x:c r="G31" s="11" t="str">
        <x:v>Zabito Central</x:v>
      </x:c>
      <x:c r="H31" s="11" t="str">
        <x:v>Single Room</x:v>
      </x:c>
      <x:c r="I31" s="14" t="n">
        <x:v>46254</x:v>
      </x:c>
      <x:c r="J31" s="11" t="n">
        <x:v>9</x:v>
      </x:c>
      <x:c r="K31" s="16" t="n">
        <x:v>7000</x:v>
      </x:c>
      <x:c r="L31" s="11" t="str">
        <x:v>Closed</x:v>
      </x:c>
      <x:c r="M31" s="14"/>
      <x:c r="N31" s="11" t="str">
        <x:v>Agent C</x:v>
      </x:c>
      <x:c r="O31" s="11" t="str">
        <x:v>Asked about Wi-Fi and laundry.</x:v>
      </x:c>
    </x:row>
  </x:sheetData>
  <x:conditionalFormatting sqref="L2:L200">
    <x:cfRule type="expression" dxfId="0" priority="1">
      <x:formula>L2="Converted"</x:formula>
    </x:cfRule>
    <x:cfRule type="expression" dxfId="1" priority="2">
      <x:formula>L2="Closed"</x:formula>
    </x:cfRule>
    <x:cfRule type="expression" dxfId="2" priority="3">
      <x:formula>L2="Viewing Booked"</x:formula>
    </x:cfRule>
    <x:cfRule type="expression" dxfId="3" priority="4">
      <x:formula>L2="New"</x:formula>
    </x:cfRule>
  </x:conditionalFormatting>
  <x:dataValidations count="5">
    <x:dataValidation type="list" sqref="F2:F200">
      <x:formula1>"Website,WhatsApp,Email,Phone,Referral"</x:formula1>
    </x:dataValidation>
    <x:dataValidation type="list" sqref="G2:G200">
      <x:formula1>"Zabito Central,Zabito North,Zabito South"</x:formula1>
    </x:dataValidation>
    <x:dataValidation type="list" sqref="H2:H200">
      <x:formula1>"Single Room,Shared Room,Studio"</x:formula1>
    </x:dataValidation>
    <x:dataValidation type="list" sqref="L2:L200">
      <x:formula1>"New,Contacted,Viewing Booked,Converted,Closed"</x:formula1>
    </x:dataValidation>
    <x:dataValidation type="list" sqref="N2:N200">
      <x:formula1>"Agent A,Agent B,Agent 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53699871ecf4a3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</x:cols>
  <x:sheetData>
    <x:row r="1" ht="28" customHeight="1">
      <x:c r="A1" s="24" t="str">
        <x:v>Zabito Enquiry Tracker – Sample Dashboard</x:v>
      </x:c>
      <x:c r="B1" s="24"/>
      <x:c r="C1" s="24"/>
      <x:c r="D1" s="24"/>
      <x:c r="E1" s="24"/>
      <x:c r="F1" s="24"/>
      <x:c r="G1" s="24"/>
      <x:c r="H1" s="24"/>
    </x:row>
    <x:row r="3">
      <x:c r="A3" s="19" t="str">
        <x:v>KPI</x:v>
      </x:c>
      <x:c r="B3" s="19" t="str">
        <x:v>Value</x:v>
      </x:c>
      <x:c r="D3" s="19" t="str">
        <x:v>Status</x:v>
      </x:c>
      <x:c r="E3" s="19" t="str">
        <x:v>Count</x:v>
      </x:c>
    </x:row>
    <x:row r="4">
      <x:c r="A4" t="str">
        <x:v>Total Enquiries</x:v>
      </x:c>
      <x:c r="B4" t="n">
        <x:f>COUNTA(Enquiries!A2:A200)</x:f>
        <x:v>30</x:v>
      </x:c>
      <x:c r="D4" t="str">
        <x:v>New</x:v>
      </x:c>
      <x:c r="E4" t="n">
        <x:f>COUNTIF(Enquiries!L:L,D4)</x:f>
        <x:v>5</x:v>
      </x:c>
    </x:row>
    <x:row r="5">
      <x:c r="A5" t="str">
        <x:v>Converted</x:v>
      </x:c>
      <x:c r="B5" t="n">
        <x:f>COUNTIF(Enquiries!L2:L200,"Converted")</x:f>
        <x:v>6</x:v>
      </x:c>
      <x:c r="D5" t="str">
        <x:v>Contacted</x:v>
      </x:c>
      <x:c r="E5" t="n">
        <x:f>COUNTIF(Enquiries!L:L,D5)</x:f>
        <x:v>7</x:v>
      </x:c>
    </x:row>
    <x:row r="6">
      <x:c r="A6" t="str">
        <x:v>Conversion Rate</x:v>
      </x:c>
      <x:c r="B6" s="28" t="n">
        <x:f>IFERROR(B5/B4,0)</x:f>
        <x:v>0.2</x:v>
      </x:c>
      <x:c r="D6" t="str">
        <x:v>Viewing Booked</x:v>
      </x:c>
      <x:c r="E6" t="n">
        <x:f>COUNTIF(Enquiries!L:L,D6)</x:f>
        <x:v>5</x:v>
      </x:c>
    </x:row>
    <x:row r="7">
      <x:c r="A7" t="str">
        <x:v>Open Enquiries</x:v>
      </x:c>
      <x:c r="B7" t="n">
        <x:f>COUNTIF(Enquiries!L2:L200,"New")+COUNTIF(Enquiries!L2:L200,"Contacted")+COUNTIF(Enquiries!L2:L200,"Viewing Booked")</x:f>
        <x:v>17</x:v>
      </x:c>
      <x:c r="D7" t="str">
        <x:v>Converted</x:v>
      </x:c>
      <x:c r="E7" t="n">
        <x:f>COUNTIF(Enquiries!L:L,D7)</x:f>
        <x:v>6</x:v>
      </x:c>
    </x:row>
    <x:row r="8">
      <x:c r="A8" t="str">
        <x:v>Potential Monthly Rent</x:v>
      </x:c>
      <x:c r="B8" s="30" t="n">
        <x:f>SUMIF(Enquiries!L2:L200,"Converted",Enquiries!K2:K200)</x:f>
        <x:v>36000</x:v>
      </x:c>
      <x:c r="D8" t="str">
        <x:v>Closed</x:v>
      </x:c>
      <x:c r="E8" t="n">
        <x:f>COUNTIF(Enquiries!L:L,D8)</x:f>
        <x:v>7</x:v>
      </x:c>
    </x:row>
    <x:row r="10">
      <x:c r="A10" s="33" t="str">
        <x:v>How to use</x:v>
      </x:c>
      <x:c r="B10" s="36" t="str"/>
    </x:row>
    <x:row r="11">
      <x:c r="A11" t="str">
        <x:v>1</x:v>
      </x:c>
      <x:c r="B11" s="11" t="str">
        <x:v>Add new enquiries in the Enquiries sheet.</x:v>
      </x:c>
    </x:row>
    <x:row r="12">
      <x:c r="A12" t="str">
        <x:v>2</x:v>
      </x:c>
      <x:c r="B12" s="11" t="str">
        <x:v>Use dropdowns for Channel, Property, Room Type and Status.</x:v>
      </x:c>
    </x:row>
    <x:row r="13">
      <x:c r="A13" t="str">
        <x:v>3</x:v>
      </x:c>
      <x:c r="B13" s="11" t="str">
        <x:v>Dashboard KPIs update from the Enquiries sheet.</x:v>
      </x:c>
    </x:row>
    <x:row r="14">
      <x:c r="A14" t="str">
        <x:v>4</x:v>
      </x:c>
      <x:c r="B14" s="11" t="str">
        <x:v>Use the Python script for an additional command-line summary.</x:v>
      </x:c>
    </x:row>
    <x:row r="15">
      <x:c r="A15" t="str">
        <x:v>5</x:v>
      </x:c>
      <x:c r="B15" s="11" t="str">
        <x:v>All names/contact details in this sample are fictional.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5ac15bae59924580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9" t="str">
        <x:v>Status</x:v>
      </x:c>
      <x:c r="B1" s="19" t="str">
        <x:v>Channel</x:v>
      </x:c>
      <x:c r="C1" s="19" t="str">
        <x:v>Property</x:v>
      </x:c>
      <x:c r="D1" s="19" t="str">
        <x:v>Room_Type</x:v>
      </x:c>
    </x:row>
    <x:row r="2">
      <x:c r="A2" t="str">
        <x:v>New</x:v>
      </x:c>
      <x:c r="B2" t="str">
        <x:v>Website</x:v>
      </x:c>
      <x:c r="C2" t="str">
        <x:v>Zabito Central</x:v>
      </x:c>
      <x:c r="D2" t="str">
        <x:v>Single Room</x:v>
      </x:c>
    </x:row>
    <x:row r="3">
      <x:c r="A3" t="str">
        <x:v>Contacted</x:v>
      </x:c>
      <x:c r="B3" t="str">
        <x:v>WhatsApp</x:v>
      </x:c>
      <x:c r="C3" t="str">
        <x:v>Zabito North</x:v>
      </x:c>
      <x:c r="D3" t="str">
        <x:v>Shared Room</x:v>
      </x:c>
    </x:row>
    <x:row r="4">
      <x:c r="A4" t="str">
        <x:v>Viewing Booked</x:v>
      </x:c>
      <x:c r="B4" t="str">
        <x:v>Email</x:v>
      </x:c>
      <x:c r="C4" t="str">
        <x:v>Zabito South</x:v>
      </x:c>
      <x:c r="D4" t="str">
        <x:v>Studio</x:v>
      </x:c>
    </x:row>
    <x:row r="5">
      <x:c r="A5" t="str">
        <x:v>Converted</x:v>
      </x:c>
      <x:c r="B5" t="str">
        <x:v>Phone</x:v>
      </x:c>
      <x:c r="C5"/>
      <x:c r="D5"/>
    </x:row>
    <x:row r="6">
      <x:c r="A6" t="str">
        <x:v>Closed</x:v>
      </x:c>
      <x:c r="B6" t="str">
        <x:v>Referral</x:v>
      </x:c>
      <x:c r="C6"/>
      <x:c r="D6"/>
    </x:row>
  </x:sheetData>
  <x:pageMargins left="0.7" right="0.7" top="0.75" bottom="0.75" header="0.3" footer="0.3"/>
</x:worksheet>
</file>